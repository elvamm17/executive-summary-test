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ojiaqi/Desktop/config/"/>
    </mc:Choice>
  </mc:AlternateContent>
  <xr:revisionPtr revIDLastSave="0" documentId="8_{A6F0FA2D-7EDC-0448-BA6B-F3EF72D200D6}" xr6:coauthVersionLast="47" xr6:coauthVersionMax="47" xr10:uidLastSave="{00000000-0000-0000-0000-000000000000}"/>
  <bookViews>
    <workbookView xWindow="1080" yWindow="1160" windowWidth="27640" windowHeight="16660" xr2:uid="{6412DD84-7313-8348-89A2-A9204D673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 s="1"/>
  <c r="E33" i="1"/>
  <c r="E32" i="1"/>
  <c r="E30" i="1" s="1"/>
  <c r="E31" i="1"/>
  <c r="E29" i="1"/>
  <c r="E28" i="1"/>
  <c r="E27" i="1"/>
  <c r="E26" i="1"/>
  <c r="E25" i="1"/>
  <c r="E24" i="1"/>
  <c r="E23" i="1"/>
  <c r="E22" i="1"/>
  <c r="E21" i="1"/>
  <c r="E20" i="1"/>
  <c r="E19" i="1"/>
  <c r="E18" i="1" s="1"/>
  <c r="E17" i="1"/>
  <c r="E16" i="1"/>
  <c r="E15" i="1"/>
  <c r="E14" i="1"/>
  <c r="E13" i="1"/>
  <c r="E12" i="1"/>
  <c r="E11" i="1"/>
  <c r="E10" i="1" s="1"/>
  <c r="C38" i="1"/>
  <c r="C34" i="1"/>
  <c r="C30" i="1"/>
  <c r="C26" i="1"/>
  <c r="C22" i="1"/>
  <c r="C18" i="1"/>
  <c r="C14" i="1"/>
  <c r="C10" i="1"/>
  <c r="E6" i="1"/>
  <c r="E9" i="1"/>
  <c r="E8" i="1"/>
  <c r="E7" i="1"/>
  <c r="C6" i="1"/>
  <c r="E2" i="1"/>
  <c r="E4" i="1"/>
  <c r="E5" i="1"/>
  <c r="E3" i="1"/>
  <c r="C2" i="1"/>
</calcChain>
</file>

<file path=xl/sharedStrings.xml><?xml version="1.0" encoding="utf-8"?>
<sst xmlns="http://schemas.openxmlformats.org/spreadsheetml/2006/main" count="75" uniqueCount="28">
  <si>
    <t>month</t>
  </si>
  <si>
    <t>channel</t>
  </si>
  <si>
    <t>target_rmb</t>
  </si>
  <si>
    <t>2026-06</t>
  </si>
  <si>
    <t>fx_rate</t>
  </si>
  <si>
    <t>target_usd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</si>
  <si>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</si>
  <si>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</si>
  <si>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</si>
  <si>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</si>
  <si>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</si>
  <si>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</si>
  <si>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</si>
  <si>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</si>
  <si>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</si>
  <si>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6月ttl</t>
  </si>
  <si>
    <t>7月ttl</t>
  </si>
  <si>
    <t>8月ttl</t>
  </si>
  <si>
    <t>9月ttl</t>
  </si>
  <si>
    <t>10月ttl</t>
  </si>
  <si>
    <t>11月ttl</t>
  </si>
  <si>
    <t>12月ttl</t>
  </si>
  <si>
    <t>1月ttl</t>
  </si>
  <si>
    <t>2月ttl</t>
  </si>
  <si>
    <t>3月ttl</t>
  </si>
  <si>
    <t>tiktok</t>
  </si>
  <si>
    <t>temu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</si>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</sst>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71" fontId="0" fillId="0" borderId="0" xfId="1" applyNumberFormat="1" applyFont="1"/>
    <xf numFmtId="17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B774-1E32-834F-A2E7-996B863590CE}">
  <dimension ref="A1:F43"/>
  <sheetViews>
    <sheetView tabSelected="1" workbookViewId="0">
      <selection activeCell="K18" sqref="K18"/>
    </sheetView>
  </sheetViews>
  <sheetFormatPr baseColWidth="10" defaultRowHeight="16" x14ac:dyDescent="0.2"/>
  <cols>
    <col min="3" max="3" width="11.5" bestFit="1" customWidth="1"/>
    <col min="5" max="5" width="15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6" x14ac:dyDescent="0.2">
      <c r="A2" t="s">
        <v>15</v>
      </c>
      <c r="C2" s="3">
        <f>SUM(C3:C5)</f>
        <v>254000</v>
      </c>
      <c r="E2" s="3">
        <f>SUM(E3:E5)</f>
        <v>36285.71428571429</v>
      </c>
    </row>
    <row r="3" spans="1:6" x14ac:dyDescent="0.2">
      <c r="A3" t="s">
        <v>3</v>
      </c>
      <c r="B3" t="s">
        <v>25</v>
      </c>
      <c r="C3" s="2">
        <v>100000</v>
      </c>
      <c r="D3" s="2">
        <v>7</v>
      </c>
      <c r="E3" s="2">
        <f>C3/D3</f>
        <v>14285.714285714286</v>
      </c>
      <c r="F3" s="2"/>
    </row>
    <row r="4" spans="1:6" x14ac:dyDescent="0.2">
      <c r="A4" t="s">
        <v>3</v>
      </c>
      <c r="B4" t="s">
        <v>26</v>
      </c>
      <c r="C4" s="2">
        <v>100000</v>
      </c>
      <c r="D4" s="2">
        <v>7</v>
      </c>
      <c r="E4" s="2">
        <f t="shared" ref="E4:E5" si="0">C4/D4</f>
        <v>14285.714285714286</v>
      </c>
      <c r="F4" s="2"/>
    </row>
    <row r="5" spans="1:6" x14ac:dyDescent="0.2">
      <c r="A5" t="s">
        <v>3</v>
      </c>
      <c r="B5" t="s">
        <v>27</v>
      </c>
      <c r="C5" s="2">
        <v>54000</v>
      </c>
      <c r="D5" s="2">
        <v>7</v>
      </c>
      <c r="E5" s="2">
        <f t="shared" si="0"/>
        <v>7714.2857142857147</v>
      </c>
      <c r="F5" s="2"/>
    </row>
    <row r="6" spans="1:6" x14ac:dyDescent="0.2">
      <c r="A6" t="s">
        <v>16</v>
      </c>
      <c r="C6" s="3">
        <f>SUM(C7:C9)</f>
        <v>1001000</v>
      </c>
      <c r="D6" s="2"/>
      <c r="E6" s="3">
        <f>SUM(E7:E9)</f>
        <v>143000</v>
      </c>
      <c r="F6" s="2"/>
    </row>
    <row r="7" spans="1:6" x14ac:dyDescent="0.2">
      <c r="A7" t="s">
        <v>6</v>
      </c>
      <c r="B7" t="s">
        <v>25</v>
      </c>
      <c r="C7" s="2">
        <v>200000</v>
      </c>
      <c r="D7" s="2">
        <v>7</v>
      </c>
      <c r="E7" s="2">
        <f>C7/D7</f>
        <v>28571.428571428572</v>
      </c>
      <c r="F7" s="2"/>
    </row>
    <row r="8" spans="1:6" x14ac:dyDescent="0.2">
      <c r="A8" t="s">
        <v>6</v>
      </c>
      <c r="B8" t="s">
        <v>26</v>
      </c>
      <c r="C8" s="2">
        <v>600000</v>
      </c>
      <c r="D8" s="2">
        <v>7</v>
      </c>
      <c r="E8" s="2">
        <f t="shared" ref="E8:E9" si="1">C8/D8</f>
        <v>85714.28571428571</v>
      </c>
      <c r="F8" s="2"/>
    </row>
    <row r="9" spans="1:6" x14ac:dyDescent="0.2">
      <c r="A9" t="s">
        <v>6</v>
      </c>
      <c r="B9" t="s">
        <v>27</v>
      </c>
      <c r="C9" s="2">
        <v>201000</v>
      </c>
      <c r="D9" s="2">
        <v>7</v>
      </c>
      <c r="E9" s="2">
        <f t="shared" si="1"/>
        <v>28714.285714285714</v>
      </c>
      <c r="F9" s="2"/>
    </row>
    <row r="10" spans="1:6" x14ac:dyDescent="0.2">
      <c r="A10" t="s">
        <v>17</v>
      </c>
      <c r="C10" s="3">
        <f>SUM(C11:C13)</f>
        <v>1728000</v>
      </c>
      <c r="E10" s="3">
        <f>SUM(E11:E13)</f>
        <v>246857.14285714284</v>
      </c>
      <c r="F10" s="2"/>
    </row>
    <row r="11" spans="1:6" x14ac:dyDescent="0.2">
      <c r="A11" t="s">
        <v>7</v>
      </c>
      <c r="B11" t="s">
        <v>25</v>
      </c>
      <c r="C11" s="2">
        <v>400000</v>
      </c>
      <c r="D11" s="2">
        <v>7</v>
      </c>
      <c r="E11" s="2">
        <f>C11/D11</f>
        <v>57142.857142857145</v>
      </c>
      <c r="F11" s="2"/>
    </row>
    <row r="12" spans="1:6" x14ac:dyDescent="0.2">
      <c r="A12" t="s">
        <v>7</v>
      </c>
      <c r="B12" t="s">
        <v>26</v>
      </c>
      <c r="C12" s="2">
        <v>800000</v>
      </c>
      <c r="D12" s="2">
        <v>7</v>
      </c>
      <c r="E12" s="2">
        <f t="shared" ref="E12:E13" si="2">C12/D12</f>
        <v>114285.71428571429</v>
      </c>
      <c r="F12" s="2"/>
    </row>
    <row r="13" spans="1:6" x14ac:dyDescent="0.2">
      <c r="A13" t="s">
        <v>7</v>
      </c>
      <c r="B13" t="s">
        <v>27</v>
      </c>
      <c r="C13" s="2">
        <v>528000</v>
      </c>
      <c r="D13" s="2">
        <v>7</v>
      </c>
      <c r="E13" s="2">
        <f t="shared" si="2"/>
        <v>75428.571428571435</v>
      </c>
      <c r="F13" s="2"/>
    </row>
    <row r="14" spans="1:6" x14ac:dyDescent="0.2">
      <c r="A14" t="s">
        <v>18</v>
      </c>
      <c r="C14" s="3">
        <f>SUM(C15:C17)</f>
        <v>2699000</v>
      </c>
      <c r="E14" s="3">
        <f>SUM(E15:E17)</f>
        <v>385571.42857142858</v>
      </c>
      <c r="F14" s="2"/>
    </row>
    <row r="15" spans="1:6" x14ac:dyDescent="0.2">
      <c r="A15" t="s">
        <v>8</v>
      </c>
      <c r="B15" t="s">
        <v>25</v>
      </c>
      <c r="C15" s="2">
        <v>1000000</v>
      </c>
      <c r="D15" s="2">
        <v>7</v>
      </c>
      <c r="E15" s="2">
        <f>C15/D15</f>
        <v>142857.14285714287</v>
      </c>
      <c r="F15" s="2"/>
    </row>
    <row r="16" spans="1:6" x14ac:dyDescent="0.2">
      <c r="A16" t="s">
        <v>8</v>
      </c>
      <c r="B16" t="s">
        <v>26</v>
      </c>
      <c r="C16" s="2">
        <v>1000000</v>
      </c>
      <c r="D16" s="2">
        <v>7</v>
      </c>
      <c r="E16" s="2">
        <f t="shared" ref="E16:E17" si="3">C16/D16</f>
        <v>142857.14285714287</v>
      </c>
      <c r="F16" s="2"/>
    </row>
    <row r="17" spans="1:6" x14ac:dyDescent="0.2">
      <c r="A17" t="s">
        <v>8</v>
      </c>
      <c r="B17" t="s">
        <v>27</v>
      </c>
      <c r="C17" s="2">
        <v>699000</v>
      </c>
      <c r="D17" s="2">
        <v>7</v>
      </c>
      <c r="E17" s="2">
        <f t="shared" si="3"/>
        <v>99857.142857142855</v>
      </c>
      <c r="F17" s="2"/>
    </row>
    <row r="18" spans="1:6" x14ac:dyDescent="0.2">
      <c r="A18" t="s">
        <v>19</v>
      </c>
      <c r="C18" s="3">
        <f>SUM(C19:C21)</f>
        <v>3641000</v>
      </c>
      <c r="E18" s="3">
        <f>SUM(E19:E21)</f>
        <v>520142.85714285716</v>
      </c>
      <c r="F18" s="2"/>
    </row>
    <row r="19" spans="1:6" x14ac:dyDescent="0.2">
      <c r="A19" t="s">
        <v>9</v>
      </c>
      <c r="B19" t="s">
        <v>25</v>
      </c>
      <c r="C19" s="2">
        <v>1200000</v>
      </c>
      <c r="D19" s="2">
        <v>7</v>
      </c>
      <c r="E19" s="2">
        <f>C19/D19</f>
        <v>171428.57142857142</v>
      </c>
      <c r="F19" s="2"/>
    </row>
    <row r="20" spans="1:6" x14ac:dyDescent="0.2">
      <c r="A20" t="s">
        <v>9</v>
      </c>
      <c r="B20" t="s">
        <v>26</v>
      </c>
      <c r="C20" s="2">
        <v>1300000</v>
      </c>
      <c r="D20" s="2">
        <v>7</v>
      </c>
      <c r="E20" s="2">
        <f t="shared" ref="E20:E21" si="4">C20/D20</f>
        <v>185714.28571428571</v>
      </c>
      <c r="F20" s="2"/>
    </row>
    <row r="21" spans="1:6" x14ac:dyDescent="0.2">
      <c r="A21" t="s">
        <v>9</v>
      </c>
      <c r="B21" t="s">
        <v>27</v>
      </c>
      <c r="C21" s="2">
        <v>1141000</v>
      </c>
      <c r="D21" s="2">
        <v>7</v>
      </c>
      <c r="E21" s="2">
        <f t="shared" si="4"/>
        <v>163000</v>
      </c>
      <c r="F21" s="2"/>
    </row>
    <row r="22" spans="1:6" x14ac:dyDescent="0.2">
      <c r="A22" t="s">
        <v>20</v>
      </c>
      <c r="C22" s="3">
        <f>SUM(C23:C25)</f>
        <v>6000000</v>
      </c>
      <c r="E22" s="3">
        <f>SUM(E23:E25)</f>
        <v>857142.85714285716</v>
      </c>
      <c r="F22" s="2"/>
    </row>
    <row r="23" spans="1:6" x14ac:dyDescent="0.2">
      <c r="A23" t="s">
        <v>10</v>
      </c>
      <c r="B23" t="s">
        <v>25</v>
      </c>
      <c r="C23" s="2">
        <v>2100000</v>
      </c>
      <c r="D23" s="2">
        <v>7</v>
      </c>
      <c r="E23" s="2">
        <f>C23/D23</f>
        <v>300000</v>
      </c>
      <c r="F23" s="2"/>
    </row>
    <row r="24" spans="1:6" x14ac:dyDescent="0.2">
      <c r="A24" t="s">
        <v>10</v>
      </c>
      <c r="B24" t="s">
        <v>26</v>
      </c>
      <c r="C24" s="2">
        <v>2200000</v>
      </c>
      <c r="D24" s="2">
        <v>7</v>
      </c>
      <c r="E24" s="2">
        <f t="shared" ref="E24:E25" si="5">C24/D24</f>
        <v>314285.71428571426</v>
      </c>
      <c r="F24" s="2"/>
    </row>
    <row r="25" spans="1:6" x14ac:dyDescent="0.2">
      <c r="A25" t="s">
        <v>10</v>
      </c>
      <c r="B25" t="s">
        <v>27</v>
      </c>
      <c r="C25" s="2">
        <v>1700000</v>
      </c>
      <c r="D25" s="2">
        <v>7</v>
      </c>
      <c r="E25" s="2">
        <f t="shared" si="5"/>
        <v>242857.14285714287</v>
      </c>
      <c r="F25" s="2"/>
    </row>
    <row r="26" spans="1:6" x14ac:dyDescent="0.2">
      <c r="A26" t="s">
        <v>21</v>
      </c>
      <c r="C26" s="3">
        <f>SUM(C27:C29)</f>
        <v>6000000</v>
      </c>
      <c r="E26" s="3">
        <f>SUM(E27:E29)</f>
        <v>857142.85714285704</v>
      </c>
      <c r="F26" s="2"/>
    </row>
    <row r="27" spans="1:6" x14ac:dyDescent="0.2">
      <c r="A27" t="s">
        <v>11</v>
      </c>
      <c r="B27" t="s">
        <v>25</v>
      </c>
      <c r="C27" s="2">
        <v>2300000</v>
      </c>
      <c r="D27" s="2">
        <v>7</v>
      </c>
      <c r="E27" s="2">
        <f>C27/D27</f>
        <v>328571.42857142858</v>
      </c>
      <c r="F27" s="2"/>
    </row>
    <row r="28" spans="1:6" x14ac:dyDescent="0.2">
      <c r="A28" t="s">
        <v>11</v>
      </c>
      <c r="B28" t="s">
        <v>26</v>
      </c>
      <c r="C28" s="2">
        <v>1800000</v>
      </c>
      <c r="D28" s="2">
        <v>7</v>
      </c>
      <c r="E28" s="2">
        <f t="shared" ref="E28:E29" si="6">C28/D28</f>
        <v>257142.85714285713</v>
      </c>
      <c r="F28" s="2"/>
    </row>
    <row r="29" spans="1:6" x14ac:dyDescent="0.2">
      <c r="A29" t="s">
        <v>11</v>
      </c>
      <c r="B29" t="s">
        <v>27</v>
      </c>
      <c r="C29" s="2">
        <v>1900000</v>
      </c>
      <c r="D29" s="2">
        <v>7</v>
      </c>
      <c r="E29" s="2">
        <f t="shared" si="6"/>
        <v>271428.57142857142</v>
      </c>
      <c r="F29" s="2"/>
    </row>
    <row r="30" spans="1:6" x14ac:dyDescent="0.2">
      <c r="A30" t="s">
        <v>22</v>
      </c>
      <c r="C30" s="3">
        <f>SUM(C31:C33)</f>
        <v>3377000</v>
      </c>
      <c r="E30" s="3">
        <f>SUM(E31:E33)</f>
        <v>482428.57142857148</v>
      </c>
      <c r="F30" s="2"/>
    </row>
    <row r="31" spans="1:6" x14ac:dyDescent="0.2">
      <c r="A31" t="s">
        <v>12</v>
      </c>
      <c r="B31" t="s">
        <v>25</v>
      </c>
      <c r="C31" s="2">
        <v>1200000</v>
      </c>
      <c r="D31" s="2">
        <v>7</v>
      </c>
      <c r="E31" s="2">
        <f>C31/D31</f>
        <v>171428.57142857142</v>
      </c>
      <c r="F31" s="2"/>
    </row>
    <row r="32" spans="1:6" x14ac:dyDescent="0.2">
      <c r="A32" t="s">
        <v>12</v>
      </c>
      <c r="B32" t="s">
        <v>26</v>
      </c>
      <c r="C32" s="2">
        <v>1000000</v>
      </c>
      <c r="D32" s="2">
        <v>7</v>
      </c>
      <c r="E32" s="2">
        <f t="shared" ref="E32:E33" si="7">C32/D32</f>
        <v>142857.14285714287</v>
      </c>
      <c r="F32" s="2"/>
    </row>
    <row r="33" spans="1:6" x14ac:dyDescent="0.2">
      <c r="A33" t="s">
        <v>12</v>
      </c>
      <c r="B33" t="s">
        <v>27</v>
      </c>
      <c r="C33" s="2">
        <v>1177000</v>
      </c>
      <c r="D33" s="2">
        <v>7</v>
      </c>
      <c r="E33" s="2">
        <f t="shared" si="7"/>
        <v>168142.85714285713</v>
      </c>
      <c r="F33" s="2"/>
    </row>
    <row r="34" spans="1:6" x14ac:dyDescent="0.2">
      <c r="A34" t="s">
        <v>23</v>
      </c>
      <c r="C34" s="3">
        <f>SUM(C35:C37)</f>
        <v>2949000</v>
      </c>
      <c r="E34" s="3">
        <f>SUM(E35:E37)</f>
        <v>421285.71428571432</v>
      </c>
      <c r="F34" s="2"/>
    </row>
    <row r="35" spans="1:6" x14ac:dyDescent="0.2">
      <c r="A35" t="s">
        <v>13</v>
      </c>
      <c r="B35" t="s">
        <v>25</v>
      </c>
      <c r="C35" s="2">
        <v>1000000</v>
      </c>
      <c r="D35" s="2">
        <v>7</v>
      </c>
      <c r="E35" s="2">
        <f>C35/D35</f>
        <v>142857.14285714287</v>
      </c>
      <c r="F35" s="2"/>
    </row>
    <row r="36" spans="1:6" x14ac:dyDescent="0.2">
      <c r="A36" t="s">
        <v>13</v>
      </c>
      <c r="B36" t="s">
        <v>26</v>
      </c>
      <c r="C36" s="2">
        <v>700000</v>
      </c>
      <c r="D36" s="2">
        <v>7</v>
      </c>
      <c r="E36" s="2">
        <f t="shared" ref="E36:E37" si="8">C36/D36</f>
        <v>100000</v>
      </c>
      <c r="F36" s="2"/>
    </row>
    <row r="37" spans="1:6" x14ac:dyDescent="0.2">
      <c r="A37" t="s">
        <v>13</v>
      </c>
      <c r="B37" t="s">
        <v>27</v>
      </c>
      <c r="C37" s="2">
        <v>1249000</v>
      </c>
      <c r="D37" s="2">
        <v>7</v>
      </c>
      <c r="E37" s="2">
        <f t="shared" si="8"/>
        <v>178428.57142857142</v>
      </c>
      <c r="F37" s="2"/>
    </row>
    <row r="38" spans="1:6" x14ac:dyDescent="0.2">
      <c r="A38" t="s">
        <v>24</v>
      </c>
      <c r="C38" s="3">
        <f>SUM(C39:C41)</f>
        <v>2351000</v>
      </c>
      <c r="E38" s="3">
        <f>SUM(E39:E41)</f>
        <v>335857.14285714284</v>
      </c>
      <c r="F38" s="2"/>
    </row>
    <row r="39" spans="1:6" x14ac:dyDescent="0.2">
      <c r="A39" t="s">
        <v>14</v>
      </c>
      <c r="B39" t="s">
        <v>25</v>
      </c>
      <c r="C39" s="2">
        <v>500000</v>
      </c>
      <c r="D39" s="2">
        <v>7</v>
      </c>
      <c r="E39" s="2">
        <f>C39/D39</f>
        <v>71428.571428571435</v>
      </c>
      <c r="F39" s="2"/>
    </row>
    <row r="40" spans="1:6" x14ac:dyDescent="0.2">
      <c r="A40" t="s">
        <v>14</v>
      </c>
      <c r="B40" t="s">
        <v>26</v>
      </c>
      <c r="C40" s="2">
        <v>500000</v>
      </c>
      <c r="D40" s="2">
        <v>7</v>
      </c>
      <c r="E40" s="2">
        <f t="shared" ref="E40:E41" si="9">C40/D40</f>
        <v>71428.571428571435</v>
      </c>
      <c r="F40" s="2"/>
    </row>
    <row r="41" spans="1:6" x14ac:dyDescent="0.2">
      <c r="A41" t="s">
        <v>14</v>
      </c>
      <c r="B41" t="s">
        <v>27</v>
      </c>
      <c r="C41" s="2">
        <v>1351000</v>
      </c>
      <c r="D41" s="2">
        <v>7</v>
      </c>
      <c r="E41" s="2">
        <f t="shared" si="9"/>
        <v>193000</v>
      </c>
      <c r="F41" s="2"/>
    </row>
    <row r="42" spans="1:6" x14ac:dyDescent="0.2">
      <c r="C42" s="2"/>
      <c r="D42" s="2"/>
      <c r="E42" s="2"/>
      <c r="F42" s="2"/>
    </row>
    <row r="43" spans="1:6" x14ac:dyDescent="0.2">
      <c r="C43" s="2"/>
      <c r="D43" s="2"/>
      <c r="E43" s="2"/>
      <c r="F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2026-06-19T18:18:03Z</dcterms:created>
  <dcterms:modified xsi:type="dcterms:W3CDTF">2026-06-19T18:32:40Z</dcterms:modified>
</cp:coreProperties>
</file>