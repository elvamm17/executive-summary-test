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miaojiaqi/Desktop/经营数据/"/>
    </mc:Choice>
  </mc:AlternateContent>
  <xr:revisionPtr revIDLastSave="0" documentId="8_{BFF738E7-DBAD-2246-ADDC-CE11EAF5BD67}" xr6:coauthVersionLast="47" xr6:coauthVersionMax="47" xr10:uidLastSave="{00000000-0000-0000-0000-000000000000}"/>
  <bookViews>
    <workbookView xWindow="0" yWindow="820" windowWidth="29400" windowHeight="17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3" i="1"/>
</calcChain>
</file>

<file path=xl/sharedStrings.xml><?xml version="1.0" encoding="utf-8"?>
<sst xmlns="http://schemas.openxmlformats.org/spreadsheetml/2006/main" count="306" uniqueCount="124">
  <si>
    <t>PO单号</t>
  </si>
  <si>
    <t>商品信息 * 销售件数</t>
  </si>
  <si>
    <t>SKU ID</t>
  </si>
  <si>
    <t>SKU名称</t>
  </si>
  <si>
    <t>SKU货号</t>
  </si>
  <si>
    <t>件数</t>
  </si>
  <si>
    <t>申报价格</t>
  </si>
  <si>
    <t>是否活动价</t>
  </si>
  <si>
    <t>币种</t>
  </si>
  <si>
    <t>销售回款</t>
  </si>
  <si>
    <t>销售回款已减优惠</t>
  </si>
  <si>
    <t>销售冲回</t>
  </si>
  <si>
    <t>运费回款</t>
  </si>
  <si>
    <t>运费回款已减优惠</t>
  </si>
  <si>
    <t>运费冲回</t>
  </si>
  <si>
    <t>PO-211-09452115410550396</t>
  </si>
  <si>
    <t>10572672204</t>
  </si>
  <si>
    <t>138g/4.87oz WEI LONG Moishine Konjac, HOT&amp;SPICY Flavor, Low-Cal snack, Individually Wrapped Approx. 8 Mini Packs Inside, Ready-to-Eat Chewy Snack, Latiao, Moyushuang, Spicy Snack, Perfect for On-The-Go</t>
  </si>
  <si>
    <t>WL-US-001</t>
  </si>
  <si>
    <t>1</t>
  </si>
  <si>
    <t>3.88</t>
  </si>
  <si>
    <t>是</t>
  </si>
  <si>
    <t>USD</t>
  </si>
  <si>
    <t>PO-211-09161549302392257</t>
  </si>
  <si>
    <t>20341195118</t>
  </si>
  <si>
    <t>WEILONG 138g/4.87oz Moishine Konjac Strips, HOT &amp; SOUR Flavor (Tangy Vinegar Spicy), Individually Wrapped Mini Packs Inside, Ready-to-Eat Chewy Snack, Latiao Moyushuang</t>
  </si>
  <si>
    <t>WL-US-003</t>
  </si>
  <si>
    <t>PO-211-11879995620472308</t>
  </si>
  <si>
    <t>12312336166</t>
  </si>
  <si>
    <t>weilong 360g/12.7oz WEI LONG Moishine Konjac Strips, SPICY Flavor, Premium Box with 20 Individually Wrapped Mini Packs Inside, Ready-to-Eat Chewy Snack, Latiao Moyushuang</t>
  </si>
  <si>
    <t>WL-US-006</t>
  </si>
  <si>
    <t>6.10</t>
  </si>
  <si>
    <t>PO-211-06265083013753136</t>
  </si>
  <si>
    <t>PO-211-00929655219832107</t>
  </si>
  <si>
    <t>25114118693</t>
  </si>
  <si>
    <t>5+3g Boxed Spicy Snacks 0.635oz*20 Packs, 360g/12.7oz WEILONG Moishine Konjac Strips, SPICY Flavor, Premium Box with 20 Individually Wrapped Mini Packs Inside, Ready-to-Eat Chewy Snack, Latiao Moyushuang, Spicy Snack</t>
  </si>
  <si>
    <t>7.08</t>
  </si>
  <si>
    <t>PO-211-17538335375991478</t>
  </si>
  <si>
    <t>PO-211-05288035628151665</t>
  </si>
  <si>
    <t>42450148724</t>
  </si>
  <si>
    <t>720g/25.4oz Total (360g × 2 Boxes), WEILONG Moishine Konjac Strips, SPICY × 2 Same Flavor Twin Pack, 20 Mini Packs per Box, Ready-to-Eat Chewy Snack, Latiao Moyushuang, Value Bundle</t>
  </si>
  <si>
    <t>WL-US-011</t>
  </si>
  <si>
    <t>12.46</t>
  </si>
  <si>
    <t>50910727720</t>
  </si>
  <si>
    <t>720g/25.4oz Total (360g × 2 Boxes), WEI LONG Moishine Konjac Strips, MALA + HOT SOUR Variety Pack (1 Numbing Box + 1 Tangy Vinegar Box), 20 Mini Packs per Box, Latiao Moyushuang</t>
  </si>
  <si>
    <t>WL-US-016</t>
  </si>
  <si>
    <t>PO-211-05469875259510708</t>
  </si>
  <si>
    <t>weilong 138g/360g/550g WEI LONG Moishine Konjac Strips, SPICY Flavor, Premium Box with 20 Individually Wrapped Mini Packs Inside, Ready-to-Eat Chewy Snack, Latiao,  Moyushuang, Chinese snake</t>
  </si>
  <si>
    <t>4.08</t>
  </si>
  <si>
    <t>PO-211-16086693125752834</t>
  </si>
  <si>
    <t>35622479680</t>
  </si>
  <si>
    <t>828g/29.2oz Total (138g × 6 Pouches in Gift Box), WEI LONG Moishine Konjac Strips, ALL 3 FLAVORS Premium Gift Set (2 Spicy + 2 Mala + 2 Hot Sour), Latiao Moyushuang, Perfect Gift</t>
  </si>
  <si>
    <t>WL-US-023</t>
  </si>
  <si>
    <t>17.40</t>
  </si>
  <si>
    <t>87718821388</t>
  </si>
  <si>
    <t>20*2 mini packs (360g × 2 Boxes), WEI LONG Moishine Konjac, MALA NUMBING SPICY × 2 Same Flavor Twin Pack, 20 Mini Packs per Box, Latiao, Moyushuang, Value Bundle</t>
  </si>
  <si>
    <t>WL-US-012</t>
  </si>
  <si>
    <t>PO-211-16086712853112834</t>
  </si>
  <si>
    <t>PO-211-16409346642550913</t>
  </si>
  <si>
    <t>PO-211-17376719742072315</t>
  </si>
  <si>
    <t>13068247588</t>
  </si>
  <si>
    <t>PO-211-17510468995192604</t>
  </si>
  <si>
    <t>PO-211-21523116216952177</t>
  </si>
  <si>
    <t>47164502881</t>
  </si>
  <si>
    <t>Weilong Konjac Snack Peanut Sesame180g/360g/550g Same Flavor (Individual Mini Packs), Peanut &amp; Sesame Peking Style, Old Beijing Sesame Paste, Konjac Snack, Konjac Shuang, Moyushuang, Mo Yu Shuang, Conjac, Kojac, Konnyaku, Gonjac, Konjak, Shirataki, Vegetarian Tripe, Konjac Jelly Strips, Spicy Strips, Dried Konjac, Low Calorie, Plant-Based, Gluten Free, Vegan, Vegetarian, High Fiber, Dietary Fiber, Non-Fried, No Preservatives, Low Sugar, Zero Trans Fat, Chinese Snack, Asian Snack, Ready to Eat</t>
  </si>
  <si>
    <t>9.96</t>
  </si>
  <si>
    <t>PO-211-16468561114230750</t>
  </si>
  <si>
    <t>91919965219</t>
  </si>
  <si>
    <t>Chinese Snacks Konjac Spicy Strips Sticks, 20 Packs Inside Box, WeiLong Chinese Snack Food, Hot Strips, Latiao Fragrant Spicy Flavor, Konjac snacks, Moyushuang，13 Ounce, 卫龙魔芋爽辣条</t>
  </si>
  <si>
    <t>1191422</t>
  </si>
  <si>
    <t>2</t>
  </si>
  <si>
    <t>5.27</t>
  </si>
  <si>
    <t>PO-211-21989776947830611</t>
  </si>
  <si>
    <t>8.36</t>
  </si>
  <si>
    <t>PO-211-21780379003511667</t>
  </si>
  <si>
    <t>29544011487</t>
  </si>
  <si>
    <t>weilong  low-calorie 826g/29.1oz Total (550g Pouch + 138g × 2 Pouches), WEI LONG Moishine Konjac Strips, SPICY Flavor, Mega Home Pouch + 2 Travel Pouches Combo, Latiao Moyushuang, Best Value Spicy Snack</t>
  </si>
  <si>
    <t>WL-US-022</t>
  </si>
  <si>
    <t>13.94</t>
  </si>
  <si>
    <t>14578703982</t>
  </si>
  <si>
    <t>138g/4.87oz WEILONG Moishine Konjac, SZECHWAN TASTE SPICY Flavor, Individually Wrapped Approx.  8 Mini Packs Inside, Ready-to-Eat Chewy Snack, Latiao Moyushuang, Konjac shuang</t>
  </si>
  <si>
    <t>WL-US-002</t>
  </si>
  <si>
    <t>PO-211-21743251087991953</t>
  </si>
  <si>
    <t>PO-211-11825901955193785</t>
  </si>
  <si>
    <t>PO-211-02612741502070331</t>
  </si>
  <si>
    <t>91721541351</t>
  </si>
  <si>
    <t>WEILONG Moishine Konjac Snack - Spicy Chewy Latiao, weilong, Low Calorie, High Fiber, Individually Wrapped, Ready-to-Eat Snack, 3 Flavors &amp; 3 Sizes, 138g (8 Mini Packs) / 360g Box (20 Mini Packs) / 550g (30 Mini Packs), Plant-Based Konjac Strips, Chewy Bouncy Texture, Shelf Stable, No Refrigeration Needed, Chinese Asian Snack, On-the-Go Spicy Snack, Szechwan Mala Numbing, Hot Spicy, Sour Hot Tangy, Tear and Eat, Konjac Jelly Snack, Shareable Family Pack</t>
  </si>
  <si>
    <t>5.88</t>
  </si>
  <si>
    <t>PO-211-13418221056631524</t>
  </si>
  <si>
    <t>92778406442</t>
  </si>
  <si>
    <t>Weilong Konjac Snack Thai-Style 138g/360g/550g Boxes Same Flavor (individual Mini Packs), Thai-Style Sour &amp; Hot, Dai Flavor, Konjac Snack, Konjac Shuang, Moyushuang, Mo Yu Shuang, Conjac, Kojac, Konnyaku, Gonjac, Konjak, Shirataki, Vegetarian Tripe, Konjac Jelly Strips, Spicy Strips, Dried Konjac, Low Calorie, Plant-Based, High Fiber, Dietary Fiber, Non-Fried, No Preservatives, Low Sugar, Zero Trans Fat, Chinese Snack, Asian Snack, Ready To Eat, Snack Pack, Snack Box</t>
  </si>
  <si>
    <t>14.08</t>
  </si>
  <si>
    <t>否</t>
  </si>
  <si>
    <t>94353700696</t>
  </si>
  <si>
    <t>11.57</t>
  </si>
  <si>
    <t>PO-211-21804579471991587</t>
  </si>
  <si>
    <t>66942759579</t>
  </si>
  <si>
    <t>498g/17.6oz Total (360g Box + 138g Pouch), WEI LONG Moishine Konjac Strips, SPICY Flavor, Home Box + Travel Pouch Combo, 20 Mini Packs in Box, Latiao Moyushuang</t>
  </si>
  <si>
    <t>WL-US-019</t>
  </si>
  <si>
    <t>9.29</t>
  </si>
  <si>
    <t>92268841085</t>
  </si>
  <si>
    <t>weilong 360g/12.7oz WEI LONG Moishine Konjac Strips, low-calorie, MALA NUMBING SPICY Flavor (Sichuan Peppercorn), Premium Box with 20 Individually Wrapped Mini Packs Inside, Ready-to-Eat Chewy Snack, Latiao Moyushuang</t>
  </si>
  <si>
    <t>WL-US-007</t>
  </si>
  <si>
    <t>PO-211-21780471061111667</t>
  </si>
  <si>
    <t>69843467785</t>
  </si>
  <si>
    <t>360g/12.7oz WEI LONG Moishine Konjac Strips, SPICY Flavor, Premium Box with 20 Individually Wrapped Mini Packs Inside, Ready-to-Eat Chewy Snack, Latiao Moyushuang, Spicy Asian Snack</t>
  </si>
  <si>
    <t>PO-211-10675209175671299</t>
  </si>
  <si>
    <t>PO-211-21804621374071587</t>
  </si>
  <si>
    <t>PO-211-05009308045432367</t>
  </si>
  <si>
    <t>PO-211-05111238756472719</t>
  </si>
  <si>
    <t>PO-211-02254337984632530</t>
  </si>
  <si>
    <t>PO-211-06624556007031955</t>
  </si>
  <si>
    <t>6.20</t>
  </si>
  <si>
    <t>PO-211-19228448850550556</t>
  </si>
  <si>
    <t>5.08</t>
  </si>
  <si>
    <t>PO-211-18801723259512141</t>
  </si>
  <si>
    <t>37337727033</t>
  </si>
  <si>
    <t>7.77</t>
  </si>
  <si>
    <t>PO-211-13827122831990622</t>
  </si>
  <si>
    <t>4.24</t>
  </si>
  <si>
    <t>PO-211-08311951432310537</t>
  </si>
  <si>
    <t>8.49</t>
  </si>
  <si>
    <t>销售+运费回款</t>
  </si>
  <si>
    <t>GMV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</si>
</sst>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sz val="11"/>
      <name val="宋体"/>
      <charset val="134"/>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1" fillId="0" borderId="0" xfId="0" applyFont="1"/>
    <xf numFmtId="2" fontId="0" fillId="0" borderId="0" xfId="0" applyNumberFormat="1"/>
    <xf numFmtId="0" fontId="1" fillId="2" borderId="1" xfId="0" applyFont="1" applyFill="1" applyBorder="1" applyAlignment="1">
      <alignment horizontal="center" vertical="center"/>
    </xf>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1"/>
  <sheetViews>
    <sheetView tabSelected="1" zoomScale="93" workbookViewId="0">
      <selection activeCell="N36" sqref="N36"/>
    </sheetView>
  </sheetViews>
  <sheetFormatPr baseColWidth="10" defaultColWidth="8.83203125" defaultRowHeight="15"/>
  <cols>
    <col min="1" max="1" width="30" customWidth="1"/>
    <col min="2" max="2" width="20" customWidth="1"/>
    <col min="3" max="3" width="50" customWidth="1"/>
    <col min="4" max="4" width="20" customWidth="1"/>
    <col min="5" max="5" width="8" customWidth="1"/>
    <col min="6" max="7" width="15" customWidth="1"/>
    <col min="8" max="8" width="10" customWidth="1"/>
    <col min="9" max="14" width="20" customWidth="1"/>
    <col min="15" max="15" width="20.6640625" customWidth="1"/>
    <col min="16" max="16" width="23.5" customWidth="1"/>
    <col min="17" max="17" width="22.83203125" customWidth="1"/>
  </cols>
  <sheetData>
    <row r="1" spans="1:17">
      <c r="A1" s="4" t="s">
        <v>0</v>
      </c>
      <c r="B1" s="4" t="s">
        <v>1</v>
      </c>
      <c r="C1" s="5"/>
      <c r="D1" s="5"/>
      <c r="E1" s="5"/>
      <c r="F1" s="5"/>
      <c r="G1" s="5"/>
      <c r="H1" s="4" t="s">
        <v>8</v>
      </c>
      <c r="I1" s="4" t="s">
        <v>9</v>
      </c>
      <c r="J1" s="4" t="s">
        <v>10</v>
      </c>
      <c r="K1" s="4" t="s">
        <v>11</v>
      </c>
      <c r="L1" s="4" t="s">
        <v>12</v>
      </c>
      <c r="M1" s="4" t="s">
        <v>13</v>
      </c>
      <c r="N1" s="4" t="s">
        <v>14</v>
      </c>
      <c r="O1" s="4" t="s">
        <v>122</v>
      </c>
      <c r="P1" s="4" t="s">
        <v>9</v>
      </c>
      <c r="Q1" s="4" t="s">
        <v>123</v>
      </c>
    </row>
    <row r="2" spans="1:17">
      <c r="A2" s="5"/>
      <c r="B2" s="1" t="s">
        <v>2</v>
      </c>
      <c r="C2" s="1" t="s">
        <v>3</v>
      </c>
      <c r="D2" s="1" t="s">
        <v>4</v>
      </c>
      <c r="E2" s="1" t="s">
        <v>5</v>
      </c>
      <c r="F2" s="1" t="s">
        <v>6</v>
      </c>
      <c r="G2" s="1" t="s">
        <v>7</v>
      </c>
      <c r="H2" s="5"/>
      <c r="I2" s="5"/>
      <c r="J2" s="5"/>
      <c r="K2" s="5"/>
      <c r="L2" s="5"/>
      <c r="M2" s="5"/>
      <c r="N2" s="5"/>
      <c r="O2" s="5"/>
      <c r="P2" s="5"/>
      <c r="Q2" s="5"/>
    </row>
    <row r="3" spans="1:17">
      <c r="A3" s="2" t="s">
        <v>15</v>
      </c>
      <c r="B3" s="2" t="s">
        <v>16</v>
      </c>
      <c r="C3" s="2" t="s">
        <v>17</v>
      </c>
      <c r="D3" s="2" t="s">
        <v>18</v>
      </c>
      <c r="E3" s="2" t="s">
        <v>19</v>
      </c>
      <c r="F3" s="2" t="s">
        <v>20</v>
      </c>
      <c r="G3" s="2" t="s">
        <v>21</v>
      </c>
      <c r="H3" s="2" t="s">
        <v>22</v>
      </c>
      <c r="I3" s="2">
        <v>3.88</v>
      </c>
      <c r="J3" s="2">
        <v>0</v>
      </c>
      <c r="K3" s="2">
        <v>0</v>
      </c>
      <c r="L3" s="2">
        <v>2.99</v>
      </c>
      <c r="M3" s="2">
        <v>0</v>
      </c>
      <c r="N3" s="2">
        <v>0</v>
      </c>
      <c r="O3">
        <f>I3+L3+N3+K3</f>
        <v>6.87</v>
      </c>
      <c r="P3">
        <f>I3+K3</f>
        <v>3.88</v>
      </c>
      <c r="Q3" s="3">
        <f>(I3+K3)*1.25+L3+N3</f>
        <v>7.84</v>
      </c>
    </row>
    <row r="4" spans="1:17">
      <c r="A4" s="2" t="s">
        <v>23</v>
      </c>
      <c r="B4" s="2" t="s">
        <v>24</v>
      </c>
      <c r="C4" s="2" t="s">
        <v>25</v>
      </c>
      <c r="D4" s="2" t="s">
        <v>26</v>
      </c>
      <c r="E4" s="2" t="s">
        <v>19</v>
      </c>
      <c r="F4" s="2" t="s">
        <v>20</v>
      </c>
      <c r="G4" s="2" t="s">
        <v>21</v>
      </c>
      <c r="H4" s="2" t="s">
        <v>22</v>
      </c>
      <c r="I4" s="2">
        <v>3.88</v>
      </c>
      <c r="J4" s="2">
        <v>0</v>
      </c>
      <c r="K4" s="2">
        <v>0</v>
      </c>
      <c r="L4" s="2">
        <v>2.99</v>
      </c>
      <c r="M4" s="2">
        <v>0</v>
      </c>
      <c r="N4" s="2">
        <v>0</v>
      </c>
      <c r="O4">
        <f t="shared" ref="O4:O40" si="0">I4+L4+N4+K4</f>
        <v>6.87</v>
      </c>
      <c r="P4">
        <f t="shared" ref="P4:P40" si="1">I4+K4</f>
        <v>3.88</v>
      </c>
      <c r="Q4" s="3">
        <f t="shared" ref="Q4:Q41" si="2">(I4+K4)*1.25+L4+N4</f>
        <v>7.84</v>
      </c>
    </row>
    <row r="5" spans="1:17">
      <c r="A5" s="2" t="s">
        <v>27</v>
      </c>
      <c r="B5" s="2" t="s">
        <v>28</v>
      </c>
      <c r="C5" s="2" t="s">
        <v>29</v>
      </c>
      <c r="D5" s="2" t="s">
        <v>30</v>
      </c>
      <c r="E5" s="2" t="s">
        <v>19</v>
      </c>
      <c r="F5" s="2" t="s">
        <v>31</v>
      </c>
      <c r="G5" s="2" t="s">
        <v>21</v>
      </c>
      <c r="H5" s="2" t="s">
        <v>22</v>
      </c>
      <c r="I5" s="2">
        <v>6.1</v>
      </c>
      <c r="J5" s="2">
        <v>0</v>
      </c>
      <c r="K5" s="2">
        <v>0</v>
      </c>
      <c r="L5" s="2">
        <v>0</v>
      </c>
      <c r="M5" s="2">
        <v>2.99</v>
      </c>
      <c r="N5" s="2">
        <v>0</v>
      </c>
      <c r="O5">
        <f t="shared" si="0"/>
        <v>6.1</v>
      </c>
      <c r="P5">
        <f t="shared" si="1"/>
        <v>6.1</v>
      </c>
      <c r="Q5" s="3">
        <f t="shared" si="2"/>
        <v>7.625</v>
      </c>
    </row>
    <row r="6" spans="1:17">
      <c r="A6" s="2" t="s">
        <v>32</v>
      </c>
      <c r="B6" s="2" t="s">
        <v>28</v>
      </c>
      <c r="C6" s="2" t="s">
        <v>29</v>
      </c>
      <c r="D6" s="2" t="s">
        <v>30</v>
      </c>
      <c r="E6" s="2" t="s">
        <v>19</v>
      </c>
      <c r="F6" s="2" t="s">
        <v>31</v>
      </c>
      <c r="G6" s="2" t="s">
        <v>21</v>
      </c>
      <c r="H6" s="2" t="s">
        <v>22</v>
      </c>
      <c r="I6" s="2">
        <v>6.1</v>
      </c>
      <c r="J6" s="2">
        <v>0</v>
      </c>
      <c r="K6" s="2">
        <v>0</v>
      </c>
      <c r="L6" s="2">
        <v>0</v>
      </c>
      <c r="M6" s="2">
        <v>2.99</v>
      </c>
      <c r="N6" s="2">
        <v>0</v>
      </c>
      <c r="O6">
        <f t="shared" si="0"/>
        <v>6.1</v>
      </c>
      <c r="P6">
        <f t="shared" si="1"/>
        <v>6.1</v>
      </c>
      <c r="Q6" s="3">
        <f t="shared" si="2"/>
        <v>7.625</v>
      </c>
    </row>
    <row r="7" spans="1:17">
      <c r="A7" s="2" t="s">
        <v>33</v>
      </c>
      <c r="B7" s="2" t="s">
        <v>34</v>
      </c>
      <c r="C7" s="2" t="s">
        <v>35</v>
      </c>
      <c r="D7" s="2" t="s">
        <v>30</v>
      </c>
      <c r="E7" s="2" t="s">
        <v>19</v>
      </c>
      <c r="F7" s="2" t="s">
        <v>36</v>
      </c>
      <c r="G7" s="2" t="s">
        <v>21</v>
      </c>
      <c r="H7" s="2" t="s">
        <v>22</v>
      </c>
      <c r="I7" s="2">
        <v>7.08</v>
      </c>
      <c r="J7" s="2">
        <v>0</v>
      </c>
      <c r="K7" s="2">
        <v>0</v>
      </c>
      <c r="L7" s="2">
        <v>2.99</v>
      </c>
      <c r="M7" s="2">
        <v>0</v>
      </c>
      <c r="N7" s="2">
        <v>0</v>
      </c>
      <c r="O7">
        <f t="shared" si="0"/>
        <v>10.07</v>
      </c>
      <c r="P7">
        <f t="shared" si="1"/>
        <v>7.08</v>
      </c>
      <c r="Q7" s="3">
        <f t="shared" si="2"/>
        <v>11.84</v>
      </c>
    </row>
    <row r="8" spans="1:17">
      <c r="A8" s="2" t="s">
        <v>37</v>
      </c>
      <c r="B8" s="2" t="s">
        <v>28</v>
      </c>
      <c r="C8" s="2" t="s">
        <v>29</v>
      </c>
      <c r="D8" s="2" t="s">
        <v>30</v>
      </c>
      <c r="E8" s="2" t="s">
        <v>19</v>
      </c>
      <c r="F8" s="2" t="s">
        <v>31</v>
      </c>
      <c r="G8" s="2" t="s">
        <v>21</v>
      </c>
      <c r="H8" s="2" t="s">
        <v>22</v>
      </c>
      <c r="I8" s="2">
        <v>6.1</v>
      </c>
      <c r="J8" s="2">
        <v>0</v>
      </c>
      <c r="K8" s="2">
        <v>0</v>
      </c>
      <c r="L8" s="2">
        <v>0</v>
      </c>
      <c r="M8" s="2">
        <v>2.99</v>
      </c>
      <c r="N8" s="2">
        <v>0</v>
      </c>
      <c r="O8">
        <f t="shared" si="0"/>
        <v>6.1</v>
      </c>
      <c r="P8">
        <f t="shared" si="1"/>
        <v>6.1</v>
      </c>
      <c r="Q8" s="3">
        <f t="shared" si="2"/>
        <v>7.625</v>
      </c>
    </row>
    <row r="9" spans="1:17">
      <c r="A9" s="6" t="s">
        <v>38</v>
      </c>
      <c r="B9" s="2" t="s">
        <v>39</v>
      </c>
      <c r="C9" s="2" t="s">
        <v>40</v>
      </c>
      <c r="D9" s="2" t="s">
        <v>41</v>
      </c>
      <c r="E9" s="2" t="s">
        <v>19</v>
      </c>
      <c r="F9" s="2" t="s">
        <v>42</v>
      </c>
      <c r="G9" s="2" t="s">
        <v>21</v>
      </c>
      <c r="H9" s="6" t="s">
        <v>22</v>
      </c>
      <c r="I9" s="6">
        <v>24.92</v>
      </c>
      <c r="J9" s="6">
        <v>0</v>
      </c>
      <c r="K9" s="6">
        <v>0</v>
      </c>
      <c r="L9" s="6">
        <v>0</v>
      </c>
      <c r="M9" s="6">
        <v>0</v>
      </c>
      <c r="N9" s="6">
        <v>0</v>
      </c>
      <c r="O9">
        <f t="shared" si="0"/>
        <v>24.92</v>
      </c>
      <c r="P9">
        <f t="shared" si="1"/>
        <v>24.92</v>
      </c>
      <c r="Q9" s="3">
        <f t="shared" si="2"/>
        <v>31.150000000000002</v>
      </c>
    </row>
    <row r="10" spans="1:17">
      <c r="A10" s="5"/>
      <c r="B10" s="2" t="s">
        <v>43</v>
      </c>
      <c r="C10" s="2" t="s">
        <v>44</v>
      </c>
      <c r="D10" s="2" t="s">
        <v>45</v>
      </c>
      <c r="E10" s="2" t="s">
        <v>19</v>
      </c>
      <c r="F10" s="2" t="s">
        <v>42</v>
      </c>
      <c r="G10" s="2" t="s">
        <v>21</v>
      </c>
      <c r="H10" s="5"/>
      <c r="I10" s="5"/>
      <c r="J10" s="5"/>
      <c r="K10" s="5"/>
      <c r="L10" s="5"/>
      <c r="M10" s="5"/>
      <c r="N10" s="5"/>
      <c r="O10">
        <f t="shared" si="0"/>
        <v>0</v>
      </c>
      <c r="P10">
        <f t="shared" si="1"/>
        <v>0</v>
      </c>
      <c r="Q10" s="3">
        <f t="shared" si="2"/>
        <v>0</v>
      </c>
    </row>
    <row r="11" spans="1:17">
      <c r="A11" s="2" t="s">
        <v>46</v>
      </c>
      <c r="B11" s="2" t="s">
        <v>28</v>
      </c>
      <c r="C11" s="2" t="s">
        <v>47</v>
      </c>
      <c r="D11" s="2" t="s">
        <v>30</v>
      </c>
      <c r="E11" s="2" t="s">
        <v>19</v>
      </c>
      <c r="F11" s="2" t="s">
        <v>48</v>
      </c>
      <c r="G11" s="2" t="s">
        <v>21</v>
      </c>
      <c r="H11" s="2" t="s">
        <v>22</v>
      </c>
      <c r="I11" s="2">
        <v>4.08</v>
      </c>
      <c r="J11" s="2">
        <v>0</v>
      </c>
      <c r="K11" s="2">
        <v>-4.08</v>
      </c>
      <c r="L11" s="2">
        <v>2.99</v>
      </c>
      <c r="M11" s="2">
        <v>0</v>
      </c>
      <c r="N11" s="2">
        <v>-2.99</v>
      </c>
      <c r="O11">
        <f t="shared" si="0"/>
        <v>0</v>
      </c>
      <c r="P11">
        <f t="shared" si="1"/>
        <v>0</v>
      </c>
      <c r="Q11" s="3">
        <f t="shared" si="2"/>
        <v>0</v>
      </c>
    </row>
    <row r="12" spans="1:17">
      <c r="A12" s="6" t="s">
        <v>49</v>
      </c>
      <c r="B12" s="2" t="s">
        <v>50</v>
      </c>
      <c r="C12" s="2" t="s">
        <v>51</v>
      </c>
      <c r="D12" s="2" t="s">
        <v>52</v>
      </c>
      <c r="E12" s="2" t="s">
        <v>19</v>
      </c>
      <c r="F12" s="2" t="s">
        <v>53</v>
      </c>
      <c r="G12" s="2" t="s">
        <v>21</v>
      </c>
      <c r="H12" s="6" t="s">
        <v>22</v>
      </c>
      <c r="I12" s="6">
        <v>29.86</v>
      </c>
      <c r="J12" s="6">
        <v>0</v>
      </c>
      <c r="K12" s="6">
        <v>0</v>
      </c>
      <c r="L12" s="6">
        <v>0</v>
      </c>
      <c r="M12" s="6">
        <v>0</v>
      </c>
      <c r="N12" s="6">
        <v>0</v>
      </c>
      <c r="O12">
        <f t="shared" si="0"/>
        <v>29.86</v>
      </c>
      <c r="P12">
        <f t="shared" si="1"/>
        <v>29.86</v>
      </c>
      <c r="Q12" s="3">
        <f t="shared" si="2"/>
        <v>37.325000000000003</v>
      </c>
    </row>
    <row r="13" spans="1:17">
      <c r="A13" s="5"/>
      <c r="B13" s="2" t="s">
        <v>54</v>
      </c>
      <c r="C13" s="2" t="s">
        <v>55</v>
      </c>
      <c r="D13" s="2" t="s">
        <v>56</v>
      </c>
      <c r="E13" s="2" t="s">
        <v>19</v>
      </c>
      <c r="F13" s="2" t="s">
        <v>42</v>
      </c>
      <c r="G13" s="2" t="s">
        <v>21</v>
      </c>
      <c r="H13" s="5"/>
      <c r="I13" s="5"/>
      <c r="J13" s="5"/>
      <c r="K13" s="5"/>
      <c r="L13" s="5"/>
      <c r="M13" s="5"/>
      <c r="N13" s="5"/>
      <c r="O13">
        <f t="shared" si="0"/>
        <v>0</v>
      </c>
      <c r="P13">
        <f t="shared" si="1"/>
        <v>0</v>
      </c>
      <c r="Q13" s="3">
        <f t="shared" si="2"/>
        <v>0</v>
      </c>
    </row>
    <row r="14" spans="1:17">
      <c r="A14" s="2" t="s">
        <v>57</v>
      </c>
      <c r="B14" s="2" t="s">
        <v>28</v>
      </c>
      <c r="C14" s="2" t="s">
        <v>47</v>
      </c>
      <c r="D14" s="2" t="s">
        <v>30</v>
      </c>
      <c r="E14" s="2" t="s">
        <v>19</v>
      </c>
      <c r="F14" s="2" t="s">
        <v>48</v>
      </c>
      <c r="G14" s="2" t="s">
        <v>21</v>
      </c>
      <c r="H14" s="2" t="s">
        <v>22</v>
      </c>
      <c r="I14" s="2">
        <v>4.08</v>
      </c>
      <c r="J14" s="2">
        <v>0</v>
      </c>
      <c r="K14" s="2">
        <v>0</v>
      </c>
      <c r="L14" s="2">
        <v>2.99</v>
      </c>
      <c r="M14" s="2">
        <v>0</v>
      </c>
      <c r="N14" s="2">
        <v>0</v>
      </c>
      <c r="O14">
        <f t="shared" si="0"/>
        <v>7.07</v>
      </c>
      <c r="P14">
        <f t="shared" si="1"/>
        <v>4.08</v>
      </c>
      <c r="Q14" s="3">
        <f t="shared" si="2"/>
        <v>8.09</v>
      </c>
    </row>
    <row r="15" spans="1:17">
      <c r="A15" s="2" t="s">
        <v>58</v>
      </c>
      <c r="B15" s="2" t="s">
        <v>16</v>
      </c>
      <c r="C15" s="2" t="s">
        <v>17</v>
      </c>
      <c r="D15" s="2" t="s">
        <v>18</v>
      </c>
      <c r="E15" s="2" t="s">
        <v>19</v>
      </c>
      <c r="F15" s="2" t="s">
        <v>20</v>
      </c>
      <c r="G15" s="2" t="s">
        <v>21</v>
      </c>
      <c r="H15" s="2" t="s">
        <v>22</v>
      </c>
      <c r="I15" s="2">
        <v>3.88</v>
      </c>
      <c r="J15" s="2">
        <v>0</v>
      </c>
      <c r="K15" s="2">
        <v>0</v>
      </c>
      <c r="L15" s="2">
        <v>2.99</v>
      </c>
      <c r="M15" s="2">
        <v>0</v>
      </c>
      <c r="N15" s="2">
        <v>0</v>
      </c>
      <c r="O15">
        <f t="shared" si="0"/>
        <v>6.87</v>
      </c>
      <c r="P15">
        <f t="shared" si="1"/>
        <v>3.88</v>
      </c>
      <c r="Q15" s="3">
        <f t="shared" si="2"/>
        <v>7.84</v>
      </c>
    </row>
    <row r="16" spans="1:17">
      <c r="A16" s="2" t="s">
        <v>59</v>
      </c>
      <c r="B16" s="2" t="s">
        <v>60</v>
      </c>
      <c r="C16" s="2" t="s">
        <v>40</v>
      </c>
      <c r="D16" s="2" t="s">
        <v>41</v>
      </c>
      <c r="E16" s="2" t="s">
        <v>19</v>
      </c>
      <c r="F16" s="2" t="s">
        <v>42</v>
      </c>
      <c r="G16" s="2" t="s">
        <v>21</v>
      </c>
      <c r="H16" s="2" t="s">
        <v>22</v>
      </c>
      <c r="I16" s="2">
        <v>12.46</v>
      </c>
      <c r="J16" s="2">
        <v>0</v>
      </c>
      <c r="K16" s="2">
        <v>0</v>
      </c>
      <c r="L16" s="2">
        <v>2.99</v>
      </c>
      <c r="M16" s="2">
        <v>0</v>
      </c>
      <c r="N16" s="2">
        <v>0</v>
      </c>
      <c r="O16">
        <f t="shared" si="0"/>
        <v>15.450000000000001</v>
      </c>
      <c r="P16">
        <f t="shared" si="1"/>
        <v>12.46</v>
      </c>
      <c r="Q16" s="3">
        <f t="shared" si="2"/>
        <v>18.565000000000001</v>
      </c>
    </row>
    <row r="17" spans="1:17">
      <c r="A17" s="2" t="s">
        <v>61</v>
      </c>
      <c r="B17" s="2" t="s">
        <v>28</v>
      </c>
      <c r="C17" s="2" t="s">
        <v>47</v>
      </c>
      <c r="D17" s="2" t="s">
        <v>30</v>
      </c>
      <c r="E17" s="2" t="s">
        <v>19</v>
      </c>
      <c r="F17" s="2" t="s">
        <v>48</v>
      </c>
      <c r="G17" s="2" t="s">
        <v>21</v>
      </c>
      <c r="H17" s="2" t="s">
        <v>22</v>
      </c>
      <c r="I17" s="2">
        <v>4.08</v>
      </c>
      <c r="J17" s="2">
        <v>0</v>
      </c>
      <c r="K17" s="2">
        <v>0</v>
      </c>
      <c r="L17" s="2">
        <v>2.99</v>
      </c>
      <c r="M17" s="2">
        <v>0</v>
      </c>
      <c r="N17" s="2">
        <v>0</v>
      </c>
      <c r="O17">
        <f t="shared" si="0"/>
        <v>7.07</v>
      </c>
      <c r="P17">
        <f t="shared" si="1"/>
        <v>4.08</v>
      </c>
      <c r="Q17" s="3">
        <f t="shared" si="2"/>
        <v>8.09</v>
      </c>
    </row>
    <row r="18" spans="1:17">
      <c r="A18" s="2" t="s">
        <v>62</v>
      </c>
      <c r="B18" s="2" t="s">
        <v>63</v>
      </c>
      <c r="C18" s="2" t="s">
        <v>64</v>
      </c>
      <c r="D18" s="2"/>
      <c r="E18" s="2" t="s">
        <v>19</v>
      </c>
      <c r="F18" s="2" t="s">
        <v>65</v>
      </c>
      <c r="G18" s="2" t="s">
        <v>21</v>
      </c>
      <c r="H18" s="2" t="s">
        <v>22</v>
      </c>
      <c r="I18" s="2">
        <v>8.4700000000000006</v>
      </c>
      <c r="J18" s="2">
        <v>1.49</v>
      </c>
      <c r="K18" s="2">
        <v>0</v>
      </c>
      <c r="L18" s="2">
        <v>2.99</v>
      </c>
      <c r="M18" s="2">
        <v>0</v>
      </c>
      <c r="N18" s="2">
        <v>0</v>
      </c>
      <c r="O18">
        <f t="shared" si="0"/>
        <v>11.46</v>
      </c>
      <c r="P18">
        <f t="shared" si="1"/>
        <v>8.4700000000000006</v>
      </c>
      <c r="Q18" s="3">
        <f t="shared" si="2"/>
        <v>13.577500000000001</v>
      </c>
    </row>
    <row r="19" spans="1:17">
      <c r="A19" s="2" t="s">
        <v>66</v>
      </c>
      <c r="B19" s="2" t="s">
        <v>67</v>
      </c>
      <c r="C19" s="2" t="s">
        <v>68</v>
      </c>
      <c r="D19" s="2" t="s">
        <v>69</v>
      </c>
      <c r="E19" s="2" t="s">
        <v>70</v>
      </c>
      <c r="F19" s="2" t="s">
        <v>71</v>
      </c>
      <c r="G19" s="2" t="s">
        <v>21</v>
      </c>
      <c r="H19" s="2" t="s">
        <v>22</v>
      </c>
      <c r="I19" s="2">
        <v>10.54</v>
      </c>
      <c r="J19" s="2">
        <v>0</v>
      </c>
      <c r="K19" s="2">
        <v>0</v>
      </c>
      <c r="L19" s="2">
        <v>2.99</v>
      </c>
      <c r="M19" s="2">
        <v>0</v>
      </c>
      <c r="N19" s="2">
        <v>0</v>
      </c>
      <c r="O19">
        <f t="shared" si="0"/>
        <v>13.53</v>
      </c>
      <c r="P19">
        <f t="shared" si="1"/>
        <v>10.54</v>
      </c>
      <c r="Q19" s="3">
        <f t="shared" si="2"/>
        <v>16.164999999999999</v>
      </c>
    </row>
    <row r="20" spans="1:17">
      <c r="A20" s="2" t="s">
        <v>72</v>
      </c>
      <c r="B20" s="2" t="s">
        <v>28</v>
      </c>
      <c r="C20" s="2" t="s">
        <v>47</v>
      </c>
      <c r="D20" s="2" t="s">
        <v>30</v>
      </c>
      <c r="E20" s="2" t="s">
        <v>19</v>
      </c>
      <c r="F20" s="2" t="s">
        <v>73</v>
      </c>
      <c r="G20" s="2" t="s">
        <v>21</v>
      </c>
      <c r="H20" s="2" t="s">
        <v>22</v>
      </c>
      <c r="I20" s="2">
        <v>8.36</v>
      </c>
      <c r="J20" s="2">
        <v>0</v>
      </c>
      <c r="K20" s="2">
        <v>0</v>
      </c>
      <c r="L20" s="2">
        <v>2.99</v>
      </c>
      <c r="M20" s="2">
        <v>0</v>
      </c>
      <c r="N20" s="2">
        <v>0</v>
      </c>
      <c r="O20">
        <f t="shared" si="0"/>
        <v>11.35</v>
      </c>
      <c r="P20">
        <f t="shared" si="1"/>
        <v>8.36</v>
      </c>
      <c r="Q20" s="3">
        <f t="shared" si="2"/>
        <v>13.44</v>
      </c>
    </row>
    <row r="21" spans="1:17">
      <c r="A21" s="6" t="s">
        <v>74</v>
      </c>
      <c r="B21" s="2" t="s">
        <v>75</v>
      </c>
      <c r="C21" s="2" t="s">
        <v>76</v>
      </c>
      <c r="D21" s="2" t="s">
        <v>77</v>
      </c>
      <c r="E21" s="2" t="s">
        <v>19</v>
      </c>
      <c r="F21" s="2" t="s">
        <v>78</v>
      </c>
      <c r="G21" s="2" t="s">
        <v>21</v>
      </c>
      <c r="H21" s="6" t="s">
        <v>22</v>
      </c>
      <c r="I21" s="6">
        <v>17.82</v>
      </c>
      <c r="J21" s="6">
        <v>0</v>
      </c>
      <c r="K21" s="6">
        <v>0</v>
      </c>
      <c r="L21" s="6">
        <v>2.99</v>
      </c>
      <c r="M21" s="6">
        <v>0</v>
      </c>
      <c r="N21" s="6">
        <v>0</v>
      </c>
      <c r="O21">
        <f t="shared" si="0"/>
        <v>20.810000000000002</v>
      </c>
      <c r="P21">
        <f t="shared" si="1"/>
        <v>17.82</v>
      </c>
      <c r="Q21" s="3">
        <f t="shared" si="2"/>
        <v>25.265000000000001</v>
      </c>
    </row>
    <row r="22" spans="1:17">
      <c r="A22" s="5"/>
      <c r="B22" s="2" t="s">
        <v>79</v>
      </c>
      <c r="C22" s="2" t="s">
        <v>80</v>
      </c>
      <c r="D22" s="2" t="s">
        <v>81</v>
      </c>
      <c r="E22" s="2" t="s">
        <v>19</v>
      </c>
      <c r="F22" s="2" t="s">
        <v>20</v>
      </c>
      <c r="G22" s="2" t="s">
        <v>21</v>
      </c>
      <c r="H22" s="5"/>
      <c r="I22" s="5"/>
      <c r="J22" s="5"/>
      <c r="K22" s="5"/>
      <c r="L22" s="5"/>
      <c r="M22" s="5"/>
      <c r="N22" s="5"/>
      <c r="O22">
        <f t="shared" si="0"/>
        <v>0</v>
      </c>
      <c r="P22">
        <f t="shared" si="1"/>
        <v>0</v>
      </c>
      <c r="Q22" s="3">
        <f t="shared" si="2"/>
        <v>0</v>
      </c>
    </row>
    <row r="23" spans="1:17">
      <c r="A23" s="2" t="s">
        <v>82</v>
      </c>
      <c r="B23" s="2" t="s">
        <v>34</v>
      </c>
      <c r="C23" s="2" t="s">
        <v>35</v>
      </c>
      <c r="D23" s="2" t="s">
        <v>30</v>
      </c>
      <c r="E23" s="2" t="s">
        <v>19</v>
      </c>
      <c r="F23" s="2" t="s">
        <v>36</v>
      </c>
      <c r="G23" s="2" t="s">
        <v>21</v>
      </c>
      <c r="H23" s="2" t="s">
        <v>22</v>
      </c>
      <c r="I23" s="2">
        <v>7.08</v>
      </c>
      <c r="J23" s="2">
        <v>0</v>
      </c>
      <c r="K23" s="2">
        <v>0</v>
      </c>
      <c r="L23" s="2">
        <v>2.99</v>
      </c>
      <c r="M23" s="2">
        <v>0</v>
      </c>
      <c r="N23" s="2">
        <v>0</v>
      </c>
      <c r="O23">
        <f t="shared" si="0"/>
        <v>10.07</v>
      </c>
      <c r="P23">
        <f t="shared" si="1"/>
        <v>7.08</v>
      </c>
      <c r="Q23" s="3">
        <f t="shared" si="2"/>
        <v>11.84</v>
      </c>
    </row>
    <row r="24" spans="1:17">
      <c r="A24" s="2" t="s">
        <v>83</v>
      </c>
      <c r="B24" s="2" t="s">
        <v>28</v>
      </c>
      <c r="C24" s="2" t="s">
        <v>47</v>
      </c>
      <c r="D24" s="2" t="s">
        <v>30</v>
      </c>
      <c r="E24" s="2" t="s">
        <v>19</v>
      </c>
      <c r="F24" s="2" t="s">
        <v>31</v>
      </c>
      <c r="G24" s="2" t="s">
        <v>21</v>
      </c>
      <c r="H24" s="2" t="s">
        <v>22</v>
      </c>
      <c r="I24" s="2">
        <v>6.1</v>
      </c>
      <c r="J24" s="2">
        <v>0</v>
      </c>
      <c r="K24" s="2">
        <v>0</v>
      </c>
      <c r="L24" s="2">
        <v>2.99</v>
      </c>
      <c r="M24" s="2">
        <v>0</v>
      </c>
      <c r="N24" s="2">
        <v>0</v>
      </c>
      <c r="O24">
        <f t="shared" si="0"/>
        <v>9.09</v>
      </c>
      <c r="P24">
        <f t="shared" si="1"/>
        <v>6.1</v>
      </c>
      <c r="Q24" s="3">
        <f t="shared" si="2"/>
        <v>10.615</v>
      </c>
    </row>
    <row r="25" spans="1:17">
      <c r="A25" s="2" t="s">
        <v>84</v>
      </c>
      <c r="B25" s="2" t="s">
        <v>85</v>
      </c>
      <c r="C25" s="2" t="s">
        <v>86</v>
      </c>
      <c r="D25" s="2"/>
      <c r="E25" s="2" t="s">
        <v>19</v>
      </c>
      <c r="F25" s="2" t="s">
        <v>87</v>
      </c>
      <c r="G25" s="2" t="s">
        <v>21</v>
      </c>
      <c r="H25" s="2" t="s">
        <v>22</v>
      </c>
      <c r="I25" s="2">
        <v>5.88</v>
      </c>
      <c r="J25" s="2">
        <v>0</v>
      </c>
      <c r="K25" s="2">
        <v>0</v>
      </c>
      <c r="L25" s="2">
        <v>2.99</v>
      </c>
      <c r="M25" s="2">
        <v>0</v>
      </c>
      <c r="N25" s="2">
        <v>0</v>
      </c>
      <c r="O25">
        <f t="shared" si="0"/>
        <v>8.870000000000001</v>
      </c>
      <c r="P25">
        <f t="shared" si="1"/>
        <v>5.88</v>
      </c>
      <c r="Q25" s="3">
        <f t="shared" si="2"/>
        <v>10.34</v>
      </c>
    </row>
    <row r="26" spans="1:17">
      <c r="A26" s="6" t="s">
        <v>88</v>
      </c>
      <c r="B26" s="2" t="s">
        <v>89</v>
      </c>
      <c r="C26" s="2" t="s">
        <v>90</v>
      </c>
      <c r="D26" s="2"/>
      <c r="E26" s="2" t="s">
        <v>19</v>
      </c>
      <c r="F26" s="2" t="s">
        <v>91</v>
      </c>
      <c r="G26" s="2" t="s">
        <v>92</v>
      </c>
      <c r="H26" s="6" t="s">
        <v>22</v>
      </c>
      <c r="I26" s="6">
        <v>19.809999999999999</v>
      </c>
      <c r="J26" s="6">
        <v>5.31</v>
      </c>
      <c r="K26" s="6">
        <v>0</v>
      </c>
      <c r="L26" s="6">
        <v>0</v>
      </c>
      <c r="M26" s="6">
        <v>0</v>
      </c>
      <c r="N26" s="6">
        <v>0</v>
      </c>
      <c r="O26">
        <f t="shared" si="0"/>
        <v>19.809999999999999</v>
      </c>
      <c r="P26">
        <f t="shared" si="1"/>
        <v>19.809999999999999</v>
      </c>
      <c r="Q26" s="3">
        <f t="shared" si="2"/>
        <v>24.762499999999999</v>
      </c>
    </row>
    <row r="27" spans="1:17">
      <c r="A27" s="5"/>
      <c r="B27" s="2" t="s">
        <v>93</v>
      </c>
      <c r="C27" s="2" t="s">
        <v>64</v>
      </c>
      <c r="D27" s="2"/>
      <c r="E27" s="2" t="s">
        <v>19</v>
      </c>
      <c r="F27" s="2" t="s">
        <v>94</v>
      </c>
      <c r="G27" s="2" t="s">
        <v>21</v>
      </c>
      <c r="H27" s="5"/>
      <c r="I27" s="5"/>
      <c r="J27" s="5"/>
      <c r="K27" s="5"/>
      <c r="L27" s="5"/>
      <c r="M27" s="5"/>
      <c r="N27" s="5"/>
      <c r="O27">
        <f t="shared" si="0"/>
        <v>0</v>
      </c>
      <c r="P27">
        <f t="shared" si="1"/>
        <v>0</v>
      </c>
      <c r="Q27" s="3">
        <f t="shared" si="2"/>
        <v>0</v>
      </c>
    </row>
    <row r="28" spans="1:17">
      <c r="A28" s="6" t="s">
        <v>95</v>
      </c>
      <c r="B28" s="2" t="s">
        <v>96</v>
      </c>
      <c r="C28" s="2" t="s">
        <v>97</v>
      </c>
      <c r="D28" s="2" t="s">
        <v>98</v>
      </c>
      <c r="E28" s="2" t="s">
        <v>19</v>
      </c>
      <c r="F28" s="2" t="s">
        <v>99</v>
      </c>
      <c r="G28" s="2" t="s">
        <v>21</v>
      </c>
      <c r="H28" s="6" t="s">
        <v>22</v>
      </c>
      <c r="I28" s="6">
        <v>17.649999999999999</v>
      </c>
      <c r="J28" s="6">
        <v>0</v>
      </c>
      <c r="K28" s="6">
        <v>0</v>
      </c>
      <c r="L28" s="6">
        <v>2.99</v>
      </c>
      <c r="M28" s="6">
        <v>0</v>
      </c>
      <c r="N28" s="6">
        <v>0</v>
      </c>
      <c r="O28">
        <f t="shared" si="0"/>
        <v>20.64</v>
      </c>
      <c r="P28">
        <f t="shared" si="1"/>
        <v>17.649999999999999</v>
      </c>
      <c r="Q28" s="3">
        <f t="shared" si="2"/>
        <v>25.052500000000002</v>
      </c>
    </row>
    <row r="29" spans="1:17">
      <c r="A29" s="5"/>
      <c r="B29" s="2" t="s">
        <v>100</v>
      </c>
      <c r="C29" s="2" t="s">
        <v>101</v>
      </c>
      <c r="D29" s="2" t="s">
        <v>102</v>
      </c>
      <c r="E29" s="2" t="s">
        <v>19</v>
      </c>
      <c r="F29" s="2" t="s">
        <v>73</v>
      </c>
      <c r="G29" s="2" t="s">
        <v>21</v>
      </c>
      <c r="H29" s="5"/>
      <c r="I29" s="5"/>
      <c r="J29" s="5"/>
      <c r="K29" s="5"/>
      <c r="L29" s="5"/>
      <c r="M29" s="5"/>
      <c r="N29" s="5"/>
      <c r="O29">
        <f t="shared" si="0"/>
        <v>0</v>
      </c>
      <c r="P29">
        <f t="shared" si="1"/>
        <v>0</v>
      </c>
      <c r="Q29" s="3">
        <f t="shared" si="2"/>
        <v>0</v>
      </c>
    </row>
    <row r="30" spans="1:17">
      <c r="A30" s="2" t="s">
        <v>103</v>
      </c>
      <c r="B30" s="2" t="s">
        <v>104</v>
      </c>
      <c r="C30" s="2" t="s">
        <v>105</v>
      </c>
      <c r="D30" s="2" t="s">
        <v>30</v>
      </c>
      <c r="E30" s="2" t="s">
        <v>19</v>
      </c>
      <c r="F30" s="2" t="s">
        <v>73</v>
      </c>
      <c r="G30" s="2" t="s">
        <v>21</v>
      </c>
      <c r="H30" s="2" t="s">
        <v>22</v>
      </c>
      <c r="I30" s="2">
        <v>8.36</v>
      </c>
      <c r="J30" s="2">
        <v>0</v>
      </c>
      <c r="K30" s="2">
        <v>0</v>
      </c>
      <c r="L30" s="2">
        <v>2.99</v>
      </c>
      <c r="M30" s="2">
        <v>0</v>
      </c>
      <c r="N30" s="2">
        <v>0</v>
      </c>
      <c r="O30">
        <f t="shared" si="0"/>
        <v>11.35</v>
      </c>
      <c r="P30">
        <f t="shared" si="1"/>
        <v>8.36</v>
      </c>
      <c r="Q30" s="3">
        <f t="shared" si="2"/>
        <v>13.44</v>
      </c>
    </row>
    <row r="31" spans="1:17">
      <c r="A31" s="2" t="s">
        <v>106</v>
      </c>
      <c r="B31" s="2" t="s">
        <v>34</v>
      </c>
      <c r="C31" s="2" t="s">
        <v>35</v>
      </c>
      <c r="D31" s="2" t="s">
        <v>30</v>
      </c>
      <c r="E31" s="2" t="s">
        <v>19</v>
      </c>
      <c r="F31" s="2" t="s">
        <v>36</v>
      </c>
      <c r="G31" s="2" t="s">
        <v>21</v>
      </c>
      <c r="H31" s="2" t="s">
        <v>22</v>
      </c>
      <c r="I31" s="2">
        <v>7.08</v>
      </c>
      <c r="J31" s="2">
        <v>0</v>
      </c>
      <c r="K31" s="2">
        <v>0</v>
      </c>
      <c r="L31" s="2">
        <v>2.99</v>
      </c>
      <c r="M31" s="2">
        <v>0</v>
      </c>
      <c r="N31" s="2">
        <v>0</v>
      </c>
      <c r="O31">
        <f t="shared" si="0"/>
        <v>10.07</v>
      </c>
      <c r="P31">
        <f t="shared" si="1"/>
        <v>7.08</v>
      </c>
      <c r="Q31" s="3">
        <f t="shared" si="2"/>
        <v>11.84</v>
      </c>
    </row>
    <row r="32" spans="1:17">
      <c r="A32" s="2" t="s">
        <v>107</v>
      </c>
      <c r="B32" s="2" t="s">
        <v>16</v>
      </c>
      <c r="C32" s="2" t="s">
        <v>17</v>
      </c>
      <c r="D32" s="2" t="s">
        <v>18</v>
      </c>
      <c r="E32" s="2" t="s">
        <v>70</v>
      </c>
      <c r="F32" s="2" t="s">
        <v>20</v>
      </c>
      <c r="G32" s="2" t="s">
        <v>21</v>
      </c>
      <c r="H32" s="2" t="s">
        <v>22</v>
      </c>
      <c r="I32" s="2">
        <v>7.76</v>
      </c>
      <c r="J32" s="2">
        <v>0</v>
      </c>
      <c r="K32" s="2">
        <v>0</v>
      </c>
      <c r="L32" s="2">
        <v>2.99</v>
      </c>
      <c r="M32" s="2">
        <v>0</v>
      </c>
      <c r="N32" s="2">
        <v>0</v>
      </c>
      <c r="O32">
        <f t="shared" si="0"/>
        <v>10.75</v>
      </c>
      <c r="P32">
        <f t="shared" si="1"/>
        <v>7.76</v>
      </c>
      <c r="Q32" s="3">
        <f t="shared" si="2"/>
        <v>12.69</v>
      </c>
    </row>
    <row r="33" spans="1:17">
      <c r="A33" s="2" t="s">
        <v>108</v>
      </c>
      <c r="B33" s="2" t="s">
        <v>28</v>
      </c>
      <c r="C33" s="2" t="s">
        <v>47</v>
      </c>
      <c r="D33" s="2" t="s">
        <v>30</v>
      </c>
      <c r="E33" s="2" t="s">
        <v>19</v>
      </c>
      <c r="F33" s="2" t="s">
        <v>48</v>
      </c>
      <c r="G33" s="2" t="s">
        <v>21</v>
      </c>
      <c r="H33" s="2" t="s">
        <v>22</v>
      </c>
      <c r="I33" s="2">
        <v>4.08</v>
      </c>
      <c r="J33" s="2">
        <v>0</v>
      </c>
      <c r="K33" s="2">
        <v>0</v>
      </c>
      <c r="L33" s="2">
        <v>2.99</v>
      </c>
      <c r="M33" s="2">
        <v>0</v>
      </c>
      <c r="N33" s="2">
        <v>0</v>
      </c>
      <c r="O33">
        <f t="shared" si="0"/>
        <v>7.07</v>
      </c>
      <c r="P33">
        <f t="shared" si="1"/>
        <v>4.08</v>
      </c>
      <c r="Q33" s="3">
        <f t="shared" si="2"/>
        <v>8.09</v>
      </c>
    </row>
    <row r="34" spans="1:17">
      <c r="A34" s="2" t="s">
        <v>109</v>
      </c>
      <c r="B34" s="2" t="s">
        <v>67</v>
      </c>
      <c r="C34" s="2" t="s">
        <v>68</v>
      </c>
      <c r="D34" s="2" t="s">
        <v>69</v>
      </c>
      <c r="E34" s="2" t="s">
        <v>70</v>
      </c>
      <c r="F34" s="2" t="s">
        <v>71</v>
      </c>
      <c r="G34" s="2" t="s">
        <v>21</v>
      </c>
      <c r="H34" s="2" t="s">
        <v>22</v>
      </c>
      <c r="I34" s="2">
        <v>10.54</v>
      </c>
      <c r="J34" s="2">
        <v>0</v>
      </c>
      <c r="K34" s="2">
        <v>0</v>
      </c>
      <c r="L34" s="2">
        <v>2.99</v>
      </c>
      <c r="M34" s="2">
        <v>0</v>
      </c>
      <c r="N34" s="2">
        <v>0</v>
      </c>
      <c r="O34">
        <f t="shared" si="0"/>
        <v>13.53</v>
      </c>
      <c r="P34">
        <f t="shared" si="1"/>
        <v>10.54</v>
      </c>
      <c r="Q34" s="3">
        <f t="shared" si="2"/>
        <v>16.164999999999999</v>
      </c>
    </row>
    <row r="35" spans="1:17">
      <c r="A35" s="2" t="s">
        <v>110</v>
      </c>
      <c r="B35" s="2" t="s">
        <v>67</v>
      </c>
      <c r="C35" s="2" t="s">
        <v>68</v>
      </c>
      <c r="D35" s="2" t="s">
        <v>69</v>
      </c>
      <c r="E35" s="2" t="s">
        <v>19</v>
      </c>
      <c r="F35" s="2" t="s">
        <v>71</v>
      </c>
      <c r="G35" s="2" t="s">
        <v>21</v>
      </c>
      <c r="H35" s="2" t="s">
        <v>22</v>
      </c>
      <c r="I35" s="2">
        <v>5.27</v>
      </c>
      <c r="J35" s="2">
        <v>0</v>
      </c>
      <c r="K35" s="2">
        <v>0</v>
      </c>
      <c r="L35" s="2">
        <v>2.99</v>
      </c>
      <c r="M35" s="2">
        <v>0</v>
      </c>
      <c r="N35" s="2">
        <v>0</v>
      </c>
      <c r="O35">
        <f t="shared" si="0"/>
        <v>8.26</v>
      </c>
      <c r="P35">
        <f t="shared" si="1"/>
        <v>5.27</v>
      </c>
      <c r="Q35" s="3">
        <f t="shared" si="2"/>
        <v>9.5775000000000006</v>
      </c>
    </row>
    <row r="36" spans="1:17">
      <c r="A36" s="2" t="s">
        <v>111</v>
      </c>
      <c r="B36" s="2" t="s">
        <v>67</v>
      </c>
      <c r="C36" s="2" t="s">
        <v>68</v>
      </c>
      <c r="D36" s="2" t="s">
        <v>69</v>
      </c>
      <c r="E36" s="2" t="s">
        <v>70</v>
      </c>
      <c r="F36" s="2" t="s">
        <v>112</v>
      </c>
      <c r="G36" s="2" t="s">
        <v>92</v>
      </c>
      <c r="H36" s="2" t="s">
        <v>22</v>
      </c>
      <c r="I36" s="2">
        <v>12.4</v>
      </c>
      <c r="J36" s="2">
        <v>0</v>
      </c>
      <c r="K36" s="2">
        <v>0</v>
      </c>
      <c r="L36" s="2">
        <v>2.99</v>
      </c>
      <c r="M36" s="2">
        <v>0</v>
      </c>
      <c r="N36" s="2">
        <v>0</v>
      </c>
      <c r="O36">
        <f t="shared" si="0"/>
        <v>15.39</v>
      </c>
      <c r="P36">
        <f t="shared" si="1"/>
        <v>12.4</v>
      </c>
      <c r="Q36" s="3">
        <f t="shared" si="2"/>
        <v>18.490000000000002</v>
      </c>
    </row>
    <row r="37" spans="1:17">
      <c r="A37" s="2" t="s">
        <v>113</v>
      </c>
      <c r="B37" s="2" t="s">
        <v>28</v>
      </c>
      <c r="C37" s="2" t="s">
        <v>47</v>
      </c>
      <c r="D37" s="2" t="s">
        <v>30</v>
      </c>
      <c r="E37" s="2" t="s">
        <v>19</v>
      </c>
      <c r="F37" s="2" t="s">
        <v>114</v>
      </c>
      <c r="G37" s="2" t="s">
        <v>21</v>
      </c>
      <c r="H37" s="2" t="s">
        <v>22</v>
      </c>
      <c r="I37" s="2">
        <v>4.32</v>
      </c>
      <c r="J37" s="2">
        <v>0.76</v>
      </c>
      <c r="K37" s="2">
        <v>0</v>
      </c>
      <c r="L37" s="2">
        <v>2.99</v>
      </c>
      <c r="M37" s="2">
        <v>0</v>
      </c>
      <c r="N37" s="2">
        <v>0</v>
      </c>
      <c r="O37">
        <f t="shared" si="0"/>
        <v>7.3100000000000005</v>
      </c>
      <c r="P37">
        <f t="shared" si="1"/>
        <v>4.32</v>
      </c>
      <c r="Q37" s="3">
        <f t="shared" si="2"/>
        <v>8.39</v>
      </c>
    </row>
    <row r="38" spans="1:17">
      <c r="A38" s="2" t="s">
        <v>115</v>
      </c>
      <c r="B38" s="2" t="s">
        <v>116</v>
      </c>
      <c r="C38" s="2" t="s">
        <v>64</v>
      </c>
      <c r="D38" s="2"/>
      <c r="E38" s="2" t="s">
        <v>19</v>
      </c>
      <c r="F38" s="2" t="s">
        <v>117</v>
      </c>
      <c r="G38" s="2" t="s">
        <v>21</v>
      </c>
      <c r="H38" s="2" t="s">
        <v>22</v>
      </c>
      <c r="I38" s="2">
        <v>6.61</v>
      </c>
      <c r="J38" s="2">
        <v>1.1599999999999999</v>
      </c>
      <c r="K38" s="2">
        <v>0</v>
      </c>
      <c r="L38" s="2">
        <v>2.99</v>
      </c>
      <c r="M38" s="2">
        <v>0</v>
      </c>
      <c r="N38" s="2">
        <v>0</v>
      </c>
      <c r="O38">
        <f t="shared" si="0"/>
        <v>9.6000000000000014</v>
      </c>
      <c r="P38">
        <f t="shared" si="1"/>
        <v>6.61</v>
      </c>
      <c r="Q38" s="3">
        <f t="shared" si="2"/>
        <v>11.252500000000001</v>
      </c>
    </row>
    <row r="39" spans="1:17">
      <c r="A39" s="2" t="s">
        <v>118</v>
      </c>
      <c r="B39" s="2" t="s">
        <v>16</v>
      </c>
      <c r="C39" s="2" t="s">
        <v>17</v>
      </c>
      <c r="D39" s="2" t="s">
        <v>18</v>
      </c>
      <c r="E39" s="2" t="s">
        <v>19</v>
      </c>
      <c r="F39" s="2" t="s">
        <v>119</v>
      </c>
      <c r="G39" s="2" t="s">
        <v>21</v>
      </c>
      <c r="H39" s="2" t="s">
        <v>22</v>
      </c>
      <c r="I39" s="2">
        <v>3.61</v>
      </c>
      <c r="J39" s="2">
        <v>0.63</v>
      </c>
      <c r="K39" s="2">
        <v>0</v>
      </c>
      <c r="L39" s="2">
        <v>2.99</v>
      </c>
      <c r="M39" s="2">
        <v>0</v>
      </c>
      <c r="N39" s="2">
        <v>0</v>
      </c>
      <c r="O39">
        <f t="shared" si="0"/>
        <v>6.6</v>
      </c>
      <c r="P39">
        <f t="shared" si="1"/>
        <v>3.61</v>
      </c>
      <c r="Q39" s="3">
        <f t="shared" si="2"/>
        <v>7.5025000000000004</v>
      </c>
    </row>
    <row r="40" spans="1:17">
      <c r="A40" s="2" t="s">
        <v>120</v>
      </c>
      <c r="B40" s="2" t="s">
        <v>63</v>
      </c>
      <c r="C40" s="2" t="s">
        <v>64</v>
      </c>
      <c r="D40" s="2"/>
      <c r="E40" s="2" t="s">
        <v>19</v>
      </c>
      <c r="F40" s="2" t="s">
        <v>121</v>
      </c>
      <c r="G40" s="2" t="s">
        <v>21</v>
      </c>
      <c r="H40" s="2" t="s">
        <v>22</v>
      </c>
      <c r="I40" s="2">
        <v>8.49</v>
      </c>
      <c r="J40" s="2">
        <v>0</v>
      </c>
      <c r="K40" s="2">
        <v>0</v>
      </c>
      <c r="L40" s="2">
        <v>2.99</v>
      </c>
      <c r="M40" s="2">
        <v>0</v>
      </c>
      <c r="N40" s="2">
        <v>0</v>
      </c>
      <c r="O40">
        <f t="shared" si="0"/>
        <v>11.48</v>
      </c>
      <c r="P40">
        <f t="shared" si="1"/>
        <v>8.49</v>
      </c>
      <c r="Q40" s="3">
        <f t="shared" si="2"/>
        <v>13.602500000000001</v>
      </c>
    </row>
    <row r="41" spans="1:17">
      <c r="Q41" s="3">
        <f t="shared" si="2"/>
        <v>0</v>
      </c>
    </row>
  </sheetData>
  <mergeCells count="52">
    <mergeCell ref="J1:J2"/>
    <mergeCell ref="K1:K2"/>
    <mergeCell ref="L1:L2"/>
    <mergeCell ref="M1:M2"/>
    <mergeCell ref="N1:N2"/>
    <mergeCell ref="A9:A10"/>
    <mergeCell ref="H9:H10"/>
    <mergeCell ref="I9:I10"/>
    <mergeCell ref="J9:J10"/>
    <mergeCell ref="K9:K10"/>
    <mergeCell ref="L9:L10"/>
    <mergeCell ref="M9:M10"/>
    <mergeCell ref="N9:N10"/>
    <mergeCell ref="A1:A2"/>
    <mergeCell ref="B1:G1"/>
    <mergeCell ref="H1:H2"/>
    <mergeCell ref="I1:I2"/>
    <mergeCell ref="A12:A13"/>
    <mergeCell ref="H12:H13"/>
    <mergeCell ref="I12:I13"/>
    <mergeCell ref="J12:J13"/>
    <mergeCell ref="K12:K13"/>
    <mergeCell ref="A21:A22"/>
    <mergeCell ref="H21:H22"/>
    <mergeCell ref="I21:I22"/>
    <mergeCell ref="J21:J22"/>
    <mergeCell ref="K21:K22"/>
    <mergeCell ref="L28:L29"/>
    <mergeCell ref="M28:M29"/>
    <mergeCell ref="N28:N29"/>
    <mergeCell ref="A26:A27"/>
    <mergeCell ref="H26:H27"/>
    <mergeCell ref="I26:I27"/>
    <mergeCell ref="J26:J27"/>
    <mergeCell ref="K26:K27"/>
    <mergeCell ref="A28:A29"/>
    <mergeCell ref="H28:H29"/>
    <mergeCell ref="I28:I29"/>
    <mergeCell ref="J28:J29"/>
    <mergeCell ref="K28:K29"/>
    <mergeCell ref="O1:O2"/>
    <mergeCell ref="P1:P2"/>
    <mergeCell ref="Q1:Q2"/>
    <mergeCell ref="L26:L27"/>
    <mergeCell ref="M26:M27"/>
    <mergeCell ref="N26:N27"/>
    <mergeCell ref="L12:L13"/>
    <mergeCell ref="M12:M13"/>
    <mergeCell ref="N12:N13"/>
    <mergeCell ref="L21:L22"/>
    <mergeCell ref="M21:M22"/>
    <mergeCell ref="N21:N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office</cp:lastModifiedBy>
  <dcterms:created xsi:type="dcterms:W3CDTF">2026-06-16T17:20:58Z</dcterms:created>
  <dcterms:modified xsi:type="dcterms:W3CDTF">2026-06-19T17:27:28Z</dcterms:modified>
</cp:coreProperties>
</file>